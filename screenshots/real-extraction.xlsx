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ne Items" state="visible" r:id="rId4"/>
    <sheet sheetId="2" name="Documents" state="visible" r:id="rId5"/>
    <sheet sheetId="3" name="Totals Check" state="visible" r:id="rId6"/>
  </sheets>
  <calcPr calcId="171027"/>
</workbook>
</file>

<file path=xl/sharedStrings.xml><?xml version="1.0" encoding="utf-8"?>
<sst xmlns="http://schemas.openxmlformats.org/spreadsheetml/2006/main" count="238" uniqueCount="94">
  <si>
    <t>Source file</t>
  </si>
  <si>
    <t>Invoice No</t>
  </si>
  <si>
    <t>Package No</t>
  </si>
  <si>
    <t>Description</t>
  </si>
  <si>
    <t>HS Code</t>
  </si>
  <si>
    <t>Qty</t>
  </si>
  <si>
    <t>Unit</t>
  </si>
  <si>
    <t>Unit Price</t>
  </si>
  <si>
    <t>Amount</t>
  </si>
  <si>
    <t>Currency</t>
  </si>
  <si>
    <t>Cartons</t>
  </si>
  <si>
    <t>N.W. (kg)</t>
  </si>
  <si>
    <t>G.W. (kg)</t>
  </si>
  <si>
    <t>CBM</t>
  </si>
  <si>
    <t>packing-list.pdf</t>
  </si>
  <si>
    <t>YBC-24117</t>
  </si>
  <si>
    <t>C/NO.1-80</t>
  </si>
  <si>
    <t>Ceramic flower vase, 25cm</t>
  </si>
  <si>
    <t>6913.90</t>
  </si>
  <si>
    <t>PCS</t>
  </si>
  <si>
    <t>EUR</t>
  </si>
  <si>
    <t>C/NO.81-130</t>
  </si>
  <si>
    <t>LED string lights 10m</t>
  </si>
  <si>
    <t>9405.31</t>
  </si>
  <si>
    <t>SETS</t>
  </si>
  <si>
    <t>C/NO.131-155</t>
  </si>
  <si>
    <t>Woven seagrass storage basket</t>
  </si>
  <si>
    <t>4602.12</t>
  </si>
  <si>
    <t>C/NO.156-175</t>
  </si>
  <si>
    <t>Scented soy candle 200g</t>
  </si>
  <si>
    <t>3406.00</t>
  </si>
  <si>
    <t>commercial-invoice.pdf</t>
  </si>
  <si>
    <t>NPE-CI-2026-0392</t>
  </si>
  <si>
    <t/>
  </si>
  <si>
    <t>USB-C charging cable 1m, braided</t>
  </si>
  <si>
    <t>8544.42</t>
  </si>
  <si>
    <t>USD</t>
  </si>
  <si>
    <t>65W GaN wall charger</t>
  </si>
  <si>
    <t>8504.40</t>
  </si>
  <si>
    <t>Wireless earbuds, BT 5.3</t>
  </si>
  <si>
    <t>8518.30</t>
  </si>
  <si>
    <t>Power bank 10000mAh</t>
  </si>
  <si>
    <t>8507.60</t>
  </si>
  <si>
    <t>Phone stand, aluminium</t>
  </si>
  <si>
    <t>8473.30</t>
  </si>
  <si>
    <t>packing-list-image.png</t>
  </si>
  <si>
    <t>QBO-0918</t>
  </si>
  <si>
    <t>1-40</t>
  </si>
  <si>
    <t>Camping folding chair</t>
  </si>
  <si>
    <t>9401.71</t>
  </si>
  <si>
    <t>41-70</t>
  </si>
  <si>
    <t>Two-person dome tent</t>
  </si>
  <si>
    <t>6306.22</t>
  </si>
  <si>
    <t>71-95</t>
  </si>
  <si>
    <t>Insulated cooler box 30L</t>
  </si>
  <si>
    <t>3924.90</t>
  </si>
  <si>
    <t>scanned-packing-list.pdf</t>
  </si>
  <si>
    <t>TOTAL</t>
  </si>
  <si>
    <t>mixed currencies</t>
  </si>
  <si>
    <t>File</t>
  </si>
  <si>
    <t>Type</t>
  </si>
  <si>
    <t>Date</t>
  </si>
  <si>
    <t>Shipper</t>
  </si>
  <si>
    <t>Consignee</t>
  </si>
  <si>
    <t>Incoterm</t>
  </si>
  <si>
    <t>PACKING LIST</t>
  </si>
  <si>
    <t>2026-09-03</t>
  </si>
  <si>
    <t>Yiwu Brightway Crafts Co., Ltd. (义乌明途⼯艺品有限公司), No. 88 Futian Rd, Yiwu, Zhejiang, China</t>
  </si>
  <si>
    <t>Harbor Lane Home Goods GmbH, Speicherstrasse 12, 20457 Hamburg, Germany</t>
  </si>
  <si>
    <t>CIF Hamburg</t>
  </si>
  <si>
    <t>COMMERCIAL INVOICE</t>
  </si>
  <si>
    <t>2026-10-09</t>
  </si>
  <si>
    <t>Shenzhen Northpeak Electronics Ltd., Bao'an District, Shenzhen, China</t>
  </si>
  <si>
    <t>Cascade Tech Supply Inc., 4100 Harbor Blvd, Oakland, CA 94607, USA</t>
  </si>
  <si>
    <t>FOB Shenzhen</t>
  </si>
  <si>
    <t>packing list</t>
  </si>
  <si>
    <t>2026-09-18</t>
  </si>
  <si>
    <t>Qingdao Bluefin Outdoor Products Co., Ltd.</t>
  </si>
  <si>
    <t>Trailhead Supply Pty Ltd, Melbourne VIC 3000, Australia</t>
  </si>
  <si>
    <t>FOB Qingdao</t>
  </si>
  <si>
    <t>Field</t>
  </si>
  <si>
    <t>Sum of lines</t>
  </si>
  <si>
    <t>Stated on document</t>
  </si>
  <si>
    <t>Status</t>
  </si>
  <si>
    <t>amount</t>
  </si>
  <si>
    <t>not stated</t>
  </si>
  <si>
    <t>qty</t>
  </si>
  <si>
    <t>OK</t>
  </si>
  <si>
    <t>cartons</t>
  </si>
  <si>
    <t>netWeightKg</t>
  </si>
  <si>
    <t>grossWeightKg</t>
  </si>
  <si>
    <t>cbm</t>
  </si>
  <si>
    <t>MISMATCH</t>
  </si>
  <si>
    <t>no line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</si>
</sst>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11" customWidth="1"/>
    <col min="4" max="4" width="36" customWidth="1"/>
    <col min="5" max="5" width="11" customWidth="1"/>
    <col min="7" max="7" width="7" customWidth="1"/>
    <col min="8" max="8" width="11" customWidth="1"/>
    <col min="9" max="9" width="12" customWidth="1"/>
    <col min="12" max="13" width="10" customWidth="1"/>
    <col min="14" max="14" width="8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960</v>
      </c>
      <c r="G2" t="s">
        <v>19</v>
      </c>
      <c r="J2" t="s">
        <v>20</v>
      </c>
      <c r="K2">
        <v>80</v>
      </c>
      <c r="L2">
        <v>672</v>
      </c>
      <c r="M2">
        <v>760</v>
      </c>
      <c r="N2">
        <v>3.84</v>
      </c>
    </row>
    <row r="3" spans="1:14" x14ac:dyDescent="0.25">
      <c r="A3" t="s">
        <v>14</v>
      </c>
      <c r="B3" t="s">
        <v>15</v>
      </c>
      <c r="C3" t="s">
        <v>21</v>
      </c>
      <c r="D3" t="s">
        <v>22</v>
      </c>
      <c r="E3" t="s">
        <v>23</v>
      </c>
      <c r="F3">
        <v>1500</v>
      </c>
      <c r="G3" t="s">
        <v>24</v>
      </c>
      <c r="J3" t="s">
        <v>20</v>
      </c>
      <c r="K3">
        <v>50</v>
      </c>
      <c r="L3">
        <v>240</v>
      </c>
      <c r="M3">
        <v>285</v>
      </c>
      <c r="N3">
        <v>1.2</v>
      </c>
    </row>
    <row r="4" spans="1:14" x14ac:dyDescent="0.25">
      <c r="A4" t="s">
        <v>14</v>
      </c>
      <c r="B4" t="s">
        <v>15</v>
      </c>
      <c r="C4" t="s">
        <v>25</v>
      </c>
      <c r="D4" t="s">
        <v>26</v>
      </c>
      <c r="E4" t="s">
        <v>27</v>
      </c>
      <c r="F4">
        <v>300</v>
      </c>
      <c r="G4" t="s">
        <v>19</v>
      </c>
      <c r="J4" t="s">
        <v>20</v>
      </c>
      <c r="K4">
        <v>25</v>
      </c>
      <c r="L4">
        <v>150</v>
      </c>
      <c r="M4">
        <v>185</v>
      </c>
      <c r="N4">
        <v>2.75</v>
      </c>
    </row>
    <row r="5" spans="1:14" x14ac:dyDescent="0.25">
      <c r="A5" t="s">
        <v>14</v>
      </c>
      <c r="B5" t="s">
        <v>15</v>
      </c>
      <c r="C5" t="s">
        <v>28</v>
      </c>
      <c r="D5" t="s">
        <v>29</v>
      </c>
      <c r="E5" t="s">
        <v>30</v>
      </c>
      <c r="F5">
        <v>1200</v>
      </c>
      <c r="G5" t="s">
        <v>19</v>
      </c>
      <c r="J5" t="s">
        <v>20</v>
      </c>
      <c r="K5">
        <v>20</v>
      </c>
      <c r="L5">
        <v>264</v>
      </c>
      <c r="M5">
        <v>290</v>
      </c>
      <c r="N5">
        <v>0.66</v>
      </c>
    </row>
    <row r="6" spans="1:14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>
        <v>5000</v>
      </c>
      <c r="G6" t="s">
        <v>19</v>
      </c>
      <c r="H6">
        <v>0.85</v>
      </c>
      <c r="I6">
        <v>4250</v>
      </c>
      <c r="J6" t="s">
        <v>36</v>
      </c>
    </row>
    <row r="7" spans="1:14" x14ac:dyDescent="0.25">
      <c r="A7" t="s">
        <v>31</v>
      </c>
      <c r="B7" t="s">
        <v>32</v>
      </c>
      <c r="C7" t="s">
        <v>33</v>
      </c>
      <c r="D7" t="s">
        <v>37</v>
      </c>
      <c r="E7" t="s">
        <v>38</v>
      </c>
      <c r="F7">
        <v>2000</v>
      </c>
      <c r="G7" t="s">
        <v>19</v>
      </c>
      <c r="H7">
        <v>6.4</v>
      </c>
      <c r="I7">
        <v>12800</v>
      </c>
      <c r="J7" t="s">
        <v>36</v>
      </c>
    </row>
    <row r="8" spans="1:14" x14ac:dyDescent="0.25">
      <c r="A8" t="s">
        <v>31</v>
      </c>
      <c r="B8" t="s">
        <v>32</v>
      </c>
      <c r="C8" t="s">
        <v>33</v>
      </c>
      <c r="D8" t="s">
        <v>39</v>
      </c>
      <c r="E8" t="s">
        <v>40</v>
      </c>
      <c r="F8">
        <v>1200</v>
      </c>
      <c r="G8" t="s">
        <v>19</v>
      </c>
      <c r="H8">
        <v>9.75</v>
      </c>
      <c r="I8">
        <v>11700</v>
      </c>
      <c r="J8" t="s">
        <v>36</v>
      </c>
    </row>
    <row r="9" spans="1:14" x14ac:dyDescent="0.25">
      <c r="A9" t="s">
        <v>31</v>
      </c>
      <c r="B9" t="s">
        <v>32</v>
      </c>
      <c r="C9" t="s">
        <v>33</v>
      </c>
      <c r="D9" t="s">
        <v>41</v>
      </c>
      <c r="E9" t="s">
        <v>42</v>
      </c>
      <c r="F9">
        <v>800</v>
      </c>
      <c r="G9" t="s">
        <v>19</v>
      </c>
      <c r="H9">
        <v>7.2</v>
      </c>
      <c r="I9">
        <v>5760</v>
      </c>
      <c r="J9" t="s">
        <v>36</v>
      </c>
    </row>
    <row r="10" spans="1:14" x14ac:dyDescent="0.25">
      <c r="A10" t="s">
        <v>31</v>
      </c>
      <c r="B10" t="s">
        <v>32</v>
      </c>
      <c r="C10" t="s">
        <v>33</v>
      </c>
      <c r="D10" t="s">
        <v>43</v>
      </c>
      <c r="E10" t="s">
        <v>44</v>
      </c>
      <c r="F10">
        <v>1500</v>
      </c>
      <c r="G10" t="s">
        <v>19</v>
      </c>
      <c r="H10">
        <v>1.95</v>
      </c>
      <c r="I10">
        <v>2925</v>
      </c>
      <c r="J10" t="s">
        <v>36</v>
      </c>
    </row>
    <row r="11" spans="1:14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>
        <v>400</v>
      </c>
      <c r="G11" t="s">
        <v>19</v>
      </c>
      <c r="J11" t="s">
        <v>33</v>
      </c>
      <c r="K11">
        <v>40</v>
      </c>
      <c r="L11">
        <v>1120</v>
      </c>
      <c r="M11">
        <v>1240</v>
      </c>
      <c r="N11">
        <v>4.8</v>
      </c>
    </row>
    <row r="12" spans="1:14" x14ac:dyDescent="0.25">
      <c r="A12" t="s">
        <v>45</v>
      </c>
      <c r="B12" t="s">
        <v>46</v>
      </c>
      <c r="C12" t="s">
        <v>50</v>
      </c>
      <c r="D12" t="s">
        <v>51</v>
      </c>
      <c r="E12" t="s">
        <v>52</v>
      </c>
      <c r="F12">
        <v>300</v>
      </c>
      <c r="G12" t="s">
        <v>19</v>
      </c>
      <c r="J12" t="s">
        <v>33</v>
      </c>
      <c r="K12">
        <v>30</v>
      </c>
      <c r="L12">
        <v>750</v>
      </c>
      <c r="M12">
        <v>810</v>
      </c>
      <c r="N12">
        <v>2.7</v>
      </c>
    </row>
    <row r="13" spans="1:14" x14ac:dyDescent="0.25">
      <c r="A13" t="s">
        <v>45</v>
      </c>
      <c r="B13" t="s">
        <v>46</v>
      </c>
      <c r="C13" t="s">
        <v>53</v>
      </c>
      <c r="D13" t="s">
        <v>54</v>
      </c>
      <c r="E13" t="s">
        <v>55</v>
      </c>
      <c r="F13">
        <v>250</v>
      </c>
      <c r="G13" t="s">
        <v>19</v>
      </c>
      <c r="J13" t="s">
        <v>33</v>
      </c>
      <c r="K13">
        <v>25</v>
      </c>
      <c r="L13">
        <v>500</v>
      </c>
      <c r="M13">
        <v>560</v>
      </c>
      <c r="N13">
        <v>3.25</v>
      </c>
    </row>
    <row r="14" spans="1:14" x14ac:dyDescent="0.25">
      <c r="A14" t="s">
        <v>56</v>
      </c>
      <c r="B14" t="s">
        <v>46</v>
      </c>
      <c r="C14" t="s">
        <v>47</v>
      </c>
      <c r="D14" t="s">
        <v>48</v>
      </c>
      <c r="E14" t="s">
        <v>49</v>
      </c>
      <c r="F14">
        <v>400</v>
      </c>
      <c r="G14" t="s">
        <v>19</v>
      </c>
      <c r="J14" t="s">
        <v>33</v>
      </c>
      <c r="K14">
        <v>40</v>
      </c>
      <c r="L14">
        <v>1120</v>
      </c>
      <c r="M14">
        <v>1240</v>
      </c>
      <c r="N14">
        <v>4.8</v>
      </c>
    </row>
    <row r="15" spans="1:14" x14ac:dyDescent="0.25">
      <c r="A15" t="s">
        <v>56</v>
      </c>
      <c r="B15" t="s">
        <v>46</v>
      </c>
      <c r="C15" t="s">
        <v>50</v>
      </c>
      <c r="D15" t="s">
        <v>51</v>
      </c>
      <c r="E15" t="s">
        <v>52</v>
      </c>
      <c r="F15">
        <v>300</v>
      </c>
      <c r="G15" t="s">
        <v>19</v>
      </c>
      <c r="J15" t="s">
        <v>33</v>
      </c>
      <c r="K15">
        <v>30</v>
      </c>
      <c r="L15">
        <v>750</v>
      </c>
      <c r="M15">
        <v>810</v>
      </c>
      <c r="N15">
        <v>2.7</v>
      </c>
    </row>
    <row r="16" spans="1:14" x14ac:dyDescent="0.25">
      <c r="A16" t="s">
        <v>56</v>
      </c>
      <c r="B16" t="s">
        <v>46</v>
      </c>
      <c r="C16" t="s">
        <v>53</v>
      </c>
      <c r="D16" t="s">
        <v>54</v>
      </c>
      <c r="E16" t="s">
        <v>55</v>
      </c>
      <c r="F16">
        <v>250</v>
      </c>
      <c r="G16" t="s">
        <v>19</v>
      </c>
      <c r="J16" t="s">
        <v>33</v>
      </c>
      <c r="K16">
        <v>25</v>
      </c>
      <c r="L16">
        <v>500</v>
      </c>
      <c r="M16">
        <v>560</v>
      </c>
      <c r="N16">
        <v>3.25</v>
      </c>
    </row>
    <row r="17" spans="4:14" s="2" customFormat="1" x14ac:dyDescent="0.25">
      <c r="D17" s="2" t="s">
        <v>57</v>
      </c>
      <c r="F17" s="2">
        <f>SUM(F2:F16)</f>
      </c>
      <c r="I17" s="2" t="s">
        <v>58</v>
      </c>
      <c r="K17" s="2">
        <f>SUM(K2:K16)</f>
      </c>
      <c r="L17" s="2">
        <f>SUM(L2:L16)</f>
      </c>
      <c r="M17" s="2">
        <f>SUM(M2:M16)</f>
      </c>
      <c r="N17" s="2">
        <f>SUM(N2:N16)</f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24" customWidth="1"/>
    <col min="2" max="2" width="22" customWidth="1"/>
    <col min="3" max="3" width="14" customWidth="1"/>
    <col min="4" max="4" width="12" customWidth="1"/>
    <col min="5" max="6" width="34" customWidth="1"/>
    <col min="8" max="8" width="14" customWidth="1"/>
  </cols>
  <sheetData>
    <row r="1" spans="1:8" s="2" customFormat="1" x14ac:dyDescent="0.25">
      <c r="A1" s="2" t="s">
        <v>59</v>
      </c>
      <c r="B1" s="2" t="s">
        <v>60</v>
      </c>
      <c r="C1" s="2" t="s">
        <v>1</v>
      </c>
      <c r="D1" s="2" t="s">
        <v>61</v>
      </c>
      <c r="E1" s="2" t="s">
        <v>62</v>
      </c>
      <c r="F1" s="2" t="s">
        <v>63</v>
      </c>
      <c r="G1" s="2" t="s">
        <v>9</v>
      </c>
      <c r="H1" s="2" t="s">
        <v>64</v>
      </c>
    </row>
    <row r="2" spans="1:8" x14ac:dyDescent="0.25">
      <c r="A2" t="s">
        <v>14</v>
      </c>
      <c r="B2" t="s">
        <v>65</v>
      </c>
      <c r="C2" t="s">
        <v>15</v>
      </c>
      <c r="D2" t="s">
        <v>66</v>
      </c>
      <c r="E2" t="s">
        <v>67</v>
      </c>
      <c r="F2" t="s">
        <v>68</v>
      </c>
      <c r="G2" t="s">
        <v>20</v>
      </c>
      <c r="H2" t="s">
        <v>69</v>
      </c>
    </row>
    <row r="3" spans="1:8" x14ac:dyDescent="0.25">
      <c r="A3" t="s">
        <v>31</v>
      </c>
      <c r="B3" t="s">
        <v>70</v>
      </c>
      <c r="C3" t="s">
        <v>32</v>
      </c>
      <c r="D3" t="s">
        <v>71</v>
      </c>
      <c r="E3" t="s">
        <v>72</v>
      </c>
      <c r="F3" t="s">
        <v>73</v>
      </c>
      <c r="G3" t="s">
        <v>36</v>
      </c>
      <c r="H3" t="s">
        <v>74</v>
      </c>
    </row>
    <row r="4" spans="1:8" x14ac:dyDescent="0.25">
      <c r="A4" t="s">
        <v>45</v>
      </c>
      <c r="B4" t="s">
        <v>75</v>
      </c>
      <c r="C4" t="s">
        <v>46</v>
      </c>
      <c r="D4" t="s">
        <v>76</v>
      </c>
      <c r="E4" t="s">
        <v>77</v>
      </c>
      <c r="F4" t="s">
        <v>78</v>
      </c>
      <c r="G4" t="s">
        <v>33</v>
      </c>
      <c r="H4" t="s">
        <v>79</v>
      </c>
    </row>
    <row r="5" spans="1:8" x14ac:dyDescent="0.25">
      <c r="A5" t="s">
        <v>56</v>
      </c>
      <c r="B5" t="s">
        <v>75</v>
      </c>
      <c r="C5" t="s">
        <v>46</v>
      </c>
      <c r="D5" t="s">
        <v>76</v>
      </c>
      <c r="E5" t="s">
        <v>77</v>
      </c>
      <c r="F5" t="s">
        <v>78</v>
      </c>
      <c r="G5" t="s">
        <v>33</v>
      </c>
      <c r="H5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24" customWidth="1"/>
    <col min="2" max="2" width="16" customWidth="1"/>
    <col min="3" max="3" width="14" customWidth="1"/>
    <col min="4" max="4" width="18" customWidth="1"/>
    <col min="5" max="5" width="14" customWidth="1"/>
  </cols>
  <sheetData>
    <row r="1" spans="1:5" s="2" customFormat="1" x14ac:dyDescent="0.25">
      <c r="A1" s="2" t="s">
        <v>59</v>
      </c>
      <c r="B1" s="2" t="s">
        <v>80</v>
      </c>
      <c r="C1" s="2" t="s">
        <v>81</v>
      </c>
      <c r="D1" s="2" t="s">
        <v>82</v>
      </c>
      <c r="E1" s="2" t="s">
        <v>83</v>
      </c>
    </row>
    <row r="2" spans="1:5" x14ac:dyDescent="0.25">
      <c r="A2" t="s">
        <v>14</v>
      </c>
      <c r="B2" t="s">
        <v>84</v>
      </c>
      <c r="C2">
        <v>0</v>
      </c>
      <c r="E2" t="s">
        <v>85</v>
      </c>
    </row>
    <row r="3" spans="1:5" x14ac:dyDescent="0.25">
      <c r="A3" t="s">
        <v>14</v>
      </c>
      <c r="B3" t="s">
        <v>86</v>
      </c>
      <c r="C3">
        <v>3960</v>
      </c>
      <c r="D3">
        <v>3960</v>
      </c>
      <c r="E3" t="s">
        <v>87</v>
      </c>
    </row>
    <row r="4" spans="1:5" x14ac:dyDescent="0.25">
      <c r="A4" t="s">
        <v>14</v>
      </c>
      <c r="B4" t="s">
        <v>88</v>
      </c>
      <c r="C4">
        <v>175</v>
      </c>
      <c r="D4">
        <v>175</v>
      </c>
      <c r="E4" t="s">
        <v>87</v>
      </c>
    </row>
    <row r="5" spans="1:5" x14ac:dyDescent="0.25">
      <c r="A5" t="s">
        <v>14</v>
      </c>
      <c r="B5" t="s">
        <v>89</v>
      </c>
      <c r="C5">
        <v>1326</v>
      </c>
      <c r="D5">
        <v>1326</v>
      </c>
      <c r="E5" t="s">
        <v>87</v>
      </c>
    </row>
    <row r="6" spans="1:5" x14ac:dyDescent="0.25">
      <c r="A6" t="s">
        <v>14</v>
      </c>
      <c r="B6" t="s">
        <v>90</v>
      </c>
      <c r="C6">
        <v>1520</v>
      </c>
      <c r="D6">
        <v>1520</v>
      </c>
      <c r="E6" t="s">
        <v>87</v>
      </c>
    </row>
    <row r="7" spans="1:5" x14ac:dyDescent="0.25">
      <c r="A7" t="s">
        <v>14</v>
      </c>
      <c r="B7" t="s">
        <v>91</v>
      </c>
      <c r="C7">
        <v>8.45</v>
      </c>
      <c r="D7">
        <v>8.45</v>
      </c>
      <c r="E7" t="s">
        <v>87</v>
      </c>
    </row>
    <row r="8" spans="1:5" x14ac:dyDescent="0.25">
      <c r="A8" t="s">
        <v>31</v>
      </c>
      <c r="B8" t="s">
        <v>84</v>
      </c>
      <c r="C8">
        <v>37435</v>
      </c>
      <c r="D8">
        <v>37535</v>
      </c>
      <c r="E8" s="3" t="s">
        <v>92</v>
      </c>
    </row>
    <row r="9" spans="1:5" x14ac:dyDescent="0.25">
      <c r="A9" t="s">
        <v>31</v>
      </c>
      <c r="B9" t="s">
        <v>86</v>
      </c>
      <c r="C9">
        <v>10500</v>
      </c>
      <c r="D9">
        <v>10500</v>
      </c>
      <c r="E9" t="s">
        <v>87</v>
      </c>
    </row>
    <row r="10" spans="1:5" x14ac:dyDescent="0.25">
      <c r="A10" t="s">
        <v>31</v>
      </c>
      <c r="B10" t="s">
        <v>88</v>
      </c>
      <c r="C10">
        <v>0</v>
      </c>
      <c r="D10">
        <v>214</v>
      </c>
      <c r="E10" t="s">
        <v>93</v>
      </c>
    </row>
    <row r="11" spans="1:5" x14ac:dyDescent="0.25">
      <c r="A11" t="s">
        <v>31</v>
      </c>
      <c r="B11" t="s">
        <v>89</v>
      </c>
      <c r="C11">
        <v>0</v>
      </c>
      <c r="D11">
        <v>1962</v>
      </c>
      <c r="E11" t="s">
        <v>93</v>
      </c>
    </row>
    <row r="12" spans="1:5" x14ac:dyDescent="0.25">
      <c r="A12" t="s">
        <v>31</v>
      </c>
      <c r="B12" t="s">
        <v>90</v>
      </c>
      <c r="C12">
        <v>0</v>
      </c>
      <c r="D12">
        <v>2148.5</v>
      </c>
      <c r="E12" t="s">
        <v>93</v>
      </c>
    </row>
    <row r="13" spans="1:5" x14ac:dyDescent="0.25">
      <c r="A13" t="s">
        <v>31</v>
      </c>
      <c r="B13" t="s">
        <v>91</v>
      </c>
      <c r="C13">
        <v>0</v>
      </c>
      <c r="E13" t="s">
        <v>85</v>
      </c>
    </row>
    <row r="14" spans="1:5" x14ac:dyDescent="0.25">
      <c r="A14" t="s">
        <v>45</v>
      </c>
      <c r="B14" t="s">
        <v>84</v>
      </c>
      <c r="C14">
        <v>0</v>
      </c>
      <c r="E14" t="s">
        <v>85</v>
      </c>
    </row>
    <row r="15" spans="1:5" x14ac:dyDescent="0.25">
      <c r="A15" t="s">
        <v>45</v>
      </c>
      <c r="B15" t="s">
        <v>86</v>
      </c>
      <c r="C15">
        <v>950</v>
      </c>
      <c r="D15">
        <v>950</v>
      </c>
      <c r="E15" t="s">
        <v>87</v>
      </c>
    </row>
    <row r="16" spans="1:5" x14ac:dyDescent="0.25">
      <c r="A16" t="s">
        <v>45</v>
      </c>
      <c r="B16" t="s">
        <v>88</v>
      </c>
      <c r="C16">
        <v>95</v>
      </c>
      <c r="D16">
        <v>95</v>
      </c>
      <c r="E16" t="s">
        <v>87</v>
      </c>
    </row>
    <row r="17" spans="1:5" x14ac:dyDescent="0.25">
      <c r="A17" t="s">
        <v>45</v>
      </c>
      <c r="B17" t="s">
        <v>89</v>
      </c>
      <c r="C17">
        <v>2370</v>
      </c>
      <c r="D17">
        <v>2370</v>
      </c>
      <c r="E17" t="s">
        <v>87</v>
      </c>
    </row>
    <row r="18" spans="1:5" x14ac:dyDescent="0.25">
      <c r="A18" t="s">
        <v>45</v>
      </c>
      <c r="B18" t="s">
        <v>90</v>
      </c>
      <c r="C18">
        <v>2610</v>
      </c>
      <c r="D18">
        <v>2610</v>
      </c>
      <c r="E18" t="s">
        <v>87</v>
      </c>
    </row>
    <row r="19" spans="1:5" x14ac:dyDescent="0.25">
      <c r="A19" t="s">
        <v>45</v>
      </c>
      <c r="B19" t="s">
        <v>91</v>
      </c>
      <c r="C19">
        <v>10.75</v>
      </c>
      <c r="D19">
        <v>11.25</v>
      </c>
      <c r="E19" s="3" t="s">
        <v>92</v>
      </c>
    </row>
    <row r="20" spans="1:5" x14ac:dyDescent="0.25">
      <c r="A20" t="s">
        <v>56</v>
      </c>
      <c r="B20" t="s">
        <v>84</v>
      </c>
      <c r="C20">
        <v>0</v>
      </c>
      <c r="E20" t="s">
        <v>85</v>
      </c>
    </row>
    <row r="21" spans="1:5" x14ac:dyDescent="0.25">
      <c r="A21" t="s">
        <v>56</v>
      </c>
      <c r="B21" t="s">
        <v>86</v>
      </c>
      <c r="C21">
        <v>950</v>
      </c>
      <c r="D21">
        <v>950</v>
      </c>
      <c r="E21" t="s">
        <v>87</v>
      </c>
    </row>
    <row r="22" spans="1:5" x14ac:dyDescent="0.25">
      <c r="A22" t="s">
        <v>56</v>
      </c>
      <c r="B22" t="s">
        <v>88</v>
      </c>
      <c r="C22">
        <v>95</v>
      </c>
      <c r="D22">
        <v>95</v>
      </c>
      <c r="E22" t="s">
        <v>87</v>
      </c>
    </row>
    <row r="23" spans="1:5" x14ac:dyDescent="0.25">
      <c r="A23" t="s">
        <v>56</v>
      </c>
      <c r="B23" t="s">
        <v>89</v>
      </c>
      <c r="C23">
        <v>2370</v>
      </c>
      <c r="D23">
        <v>2370</v>
      </c>
      <c r="E23" t="s">
        <v>87</v>
      </c>
    </row>
    <row r="24" spans="1:5" x14ac:dyDescent="0.25">
      <c r="A24" t="s">
        <v>56</v>
      </c>
      <c r="B24" t="s">
        <v>90</v>
      </c>
      <c r="C24">
        <v>2610</v>
      </c>
      <c r="D24">
        <v>2610</v>
      </c>
      <c r="E24" t="s">
        <v>87</v>
      </c>
    </row>
    <row r="25" spans="1:5" x14ac:dyDescent="0.25">
      <c r="A25" t="s">
        <v>56</v>
      </c>
      <c r="B25" t="s">
        <v>91</v>
      </c>
      <c r="C25">
        <v>10.75</v>
      </c>
      <c r="D25">
        <v>11.25</v>
      </c>
      <c r="E25" s="3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 Items</vt:lpstr>
      <vt:lpstr>Documents</vt:lpstr>
      <vt:lpstr>Totals Check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PackList2Excel</dc:creator>
  <dc:title/>
  <dc:subject/>
  <dc:description/>
  <cp:keywords/>
  <cp:category/>
  <cp:lastModifiedBy>Unknown</cp:lastModifiedBy>
  <dcterms:created xsi:type="dcterms:W3CDTF">2026-10-22T15:22:43Z</dcterms:created>
  <dcterms:modified xsi:type="dcterms:W3CDTF">2026-10-22T15:22:43Z</dcterms:modified>
</cp:coreProperties>
</file>